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bhatt\OneDrive\Desktop\Sameek\0. University of North Texas\UNT Masters Course\Semester 3 - Fall 2025\CSCE 5310 - Methods in Empirical Analysis\Project\Code\"/>
    </mc:Choice>
  </mc:AlternateContent>
  <xr:revisionPtr revIDLastSave="0" documentId="13_ncr:1_{99B32F90-6A9B-49BB-88A2-948843580D4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2" r:id="rId1"/>
    <sheet name="Sheet2" sheetId="3" r:id="rId2"/>
  </sheets>
  <externalReferences>
    <externalReference r:id="rId3"/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2" l="1"/>
  <c r="K2" i="2"/>
  <c r="H3" i="2"/>
  <c r="H4" i="2"/>
  <c r="H5" i="2"/>
  <c r="H6" i="2"/>
  <c r="H7" i="2"/>
  <c r="H2" i="2"/>
  <c r="G8" i="2"/>
  <c r="G3" i="2"/>
  <c r="G4" i="2"/>
  <c r="G5" i="2"/>
  <c r="G6" i="2"/>
  <c r="G7" i="2"/>
  <c r="G2" i="2"/>
  <c r="K1" i="2"/>
  <c r="F8" i="2"/>
  <c r="F3" i="2"/>
  <c r="F4" i="2"/>
  <c r="F5" i="2"/>
  <c r="F6" i="2"/>
  <c r="F7" i="2"/>
  <c r="F2" i="2"/>
  <c r="B8" i="2"/>
  <c r="B2" i="2"/>
  <c r="C2" i="2"/>
  <c r="D2" i="2"/>
  <c r="B3" i="2"/>
  <c r="C3" i="2"/>
  <c r="D3" i="2"/>
  <c r="B4" i="2"/>
  <c r="C4" i="2"/>
  <c r="D4" i="2"/>
  <c r="B5" i="2"/>
  <c r="C5" i="2"/>
  <c r="D5" i="2"/>
  <c r="B6" i="2"/>
  <c r="C6" i="2"/>
  <c r="D6" i="2"/>
  <c r="B7" i="2"/>
  <c r="C7" i="2"/>
  <c r="D7" i="2"/>
  <c r="H8" i="2" l="1"/>
</calcChain>
</file>

<file path=xl/sharedStrings.xml><?xml version="1.0" encoding="utf-8"?>
<sst xmlns="http://schemas.openxmlformats.org/spreadsheetml/2006/main" count="35" uniqueCount="28">
  <si>
    <t>Total unique words</t>
  </si>
  <si>
    <t>Total number of essays</t>
  </si>
  <si>
    <t>Unique Words Count</t>
  </si>
  <si>
    <t>Average Stopword Count</t>
  </si>
  <si>
    <t>Average Word Count</t>
  </si>
  <si>
    <t>Count</t>
  </si>
  <si>
    <t>Essay Score</t>
  </si>
  <si>
    <t>Model</t>
  </si>
  <si>
    <t>ML Task</t>
  </si>
  <si>
    <t>Root Mean Squared Error (RMSE)</t>
  </si>
  <si>
    <t>Mean Absolute Error (MAE)</t>
  </si>
  <si>
    <t>Quadratic Weighted Kappa (QWK)</t>
  </si>
  <si>
    <t>Support Vector Regressor</t>
  </si>
  <si>
    <t>Gradient Boosting Regressor</t>
  </si>
  <si>
    <t>Accuracy</t>
  </si>
  <si>
    <t>F1 Score</t>
  </si>
  <si>
    <t>Support Vector Classifier</t>
  </si>
  <si>
    <t>K-Nearest Neighbors</t>
  </si>
  <si>
    <t>Regression</t>
  </si>
  <si>
    <t>Classification</t>
  </si>
  <si>
    <t>-</t>
  </si>
  <si>
    <t>Std Deviation</t>
  </si>
  <si>
    <t>Total</t>
  </si>
  <si>
    <t>Mean</t>
  </si>
  <si>
    <t>(Score - Mean)^2</t>
  </si>
  <si>
    <t>Count*((Score - Mean)^2)</t>
  </si>
  <si>
    <t>Score*Count</t>
  </si>
  <si>
    <t>Variance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</si>
</sst>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0" xfId="0" applyFill="1" applyBorder="1"/>
    <xf numFmtId="0" fontId="0" fillId="0" borderId="2" xfId="0" applyBorder="1"/>
    <xf numFmtId="0" fontId="0" fillId="0" borderId="2" xfId="0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0" fillId="0" borderId="3" xfId="0" applyBorder="1"/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Document Distribution in Dataset</a:t>
            </a:r>
          </a:p>
        </c:rich>
      </c:tx>
      <c:layout>
        <c:manualLayout>
          <c:xMode val="edge"/>
          <c:yMode val="edge"/>
          <c:x val="0.24894858730893937"/>
          <c:y val="2.78400849564857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Count</c:v>
                </c:pt>
              </c:strCache>
            </c:strRef>
          </c:tx>
          <c:spPr>
            <a:ln w="31750" cap="rnd">
              <a:solidFill>
                <a:schemeClr val="accent1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2"/>
              <c:layout>
                <c:manualLayout>
                  <c:x val="-4.3137254901960853E-2"/>
                  <c:y val="-1.644736842105263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E95-4D05-AB82-1575A136605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Sheet1!$A$2:$A$7</c:f>
              <c:numCache>
                <c:formatCode>General</c:formatCode>
                <c:ptCount val="6"/>
                <c:pt idx="0">
                  <c:v>12</c:v>
                </c:pt>
                <c:pt idx="1">
                  <c:v>10</c:v>
                </c:pt>
                <c:pt idx="2">
                  <c:v>8</c:v>
                </c:pt>
                <c:pt idx="3">
                  <c:v>6</c:v>
                </c:pt>
                <c:pt idx="4">
                  <c:v>4</c:v>
                </c:pt>
                <c:pt idx="5">
                  <c:v>2</c:v>
                </c:pt>
              </c:numCache>
            </c:numRef>
          </c:cat>
          <c:val>
            <c:numRef>
              <c:f>Sheet1!$B$2:$B$7</c:f>
              <c:numCache>
                <c:formatCode>General</c:formatCode>
                <c:ptCount val="6"/>
                <c:pt idx="0">
                  <c:v>12</c:v>
                </c:pt>
                <c:pt idx="1">
                  <c:v>24</c:v>
                </c:pt>
                <c:pt idx="2">
                  <c:v>39</c:v>
                </c:pt>
                <c:pt idx="3">
                  <c:v>39</c:v>
                </c:pt>
                <c:pt idx="4">
                  <c:v>17</c:v>
                </c:pt>
                <c:pt idx="5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95-4D05-AB82-1575A136605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34201312"/>
        <c:axId val="1034203712"/>
      </c:lineChart>
      <c:catAx>
        <c:axId val="10342013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/>
                  <a:t>Essay Scores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4203712"/>
        <c:crosses val="autoZero"/>
        <c:auto val="1"/>
        <c:lblAlgn val="ctr"/>
        <c:lblOffset val="100"/>
        <c:noMultiLvlLbl val="0"/>
      </c:catAx>
      <c:valAx>
        <c:axId val="103420371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/>
                  <a:t>Count of Essay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4201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Unique Words Distribution in Dataset</a:t>
            </a:r>
          </a:p>
        </c:rich>
      </c:tx>
      <c:layout>
        <c:manualLayout>
          <c:xMode val="edge"/>
          <c:yMode val="edge"/>
          <c:x val="0.20777207977207973"/>
          <c:y val="2.45506322961496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Unique Words Count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Sheet1!$A$2:$A$7</c:f>
              <c:numCache>
                <c:formatCode>General</c:formatCode>
                <c:ptCount val="6"/>
                <c:pt idx="0">
                  <c:v>12</c:v>
                </c:pt>
                <c:pt idx="1">
                  <c:v>10</c:v>
                </c:pt>
                <c:pt idx="2">
                  <c:v>8</c:v>
                </c:pt>
                <c:pt idx="3">
                  <c:v>6</c:v>
                </c:pt>
                <c:pt idx="4">
                  <c:v>4</c:v>
                </c:pt>
                <c:pt idx="5">
                  <c:v>2</c:v>
                </c:pt>
              </c:numCache>
            </c:numRef>
          </c:cat>
          <c:val>
            <c:numRef>
              <c:f>Sheet1!$E$2:$E$7</c:f>
              <c:numCache>
                <c:formatCode>General</c:formatCode>
                <c:ptCount val="6"/>
                <c:pt idx="0">
                  <c:v>1218</c:v>
                </c:pt>
                <c:pt idx="1">
                  <c:v>1528</c:v>
                </c:pt>
                <c:pt idx="2">
                  <c:v>1411</c:v>
                </c:pt>
                <c:pt idx="3">
                  <c:v>937</c:v>
                </c:pt>
                <c:pt idx="4">
                  <c:v>331</c:v>
                </c:pt>
                <c:pt idx="5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77-4A55-9A3C-906389B9A44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034201312"/>
        <c:axId val="1034203712"/>
      </c:barChart>
      <c:catAx>
        <c:axId val="103420131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/>
                  <a:t>Essay Scores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4203712"/>
        <c:crosses val="autoZero"/>
        <c:auto val="1"/>
        <c:lblAlgn val="ctr"/>
        <c:lblOffset val="100"/>
        <c:noMultiLvlLbl val="0"/>
      </c:catAx>
      <c:valAx>
        <c:axId val="103420371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/>
                  <a:t>Count of Unique Words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4201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Stopwords Distribution in Dataset</a:t>
            </a:r>
          </a:p>
        </c:rich>
      </c:tx>
      <c:layout>
        <c:manualLayout>
          <c:xMode val="edge"/>
          <c:yMode val="edge"/>
          <c:x val="0.20777207977207973"/>
          <c:y val="2.45506322961496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Average Stopword Count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Sheet1!$A$2:$A$7</c:f>
              <c:numCache>
                <c:formatCode>General</c:formatCode>
                <c:ptCount val="6"/>
                <c:pt idx="0">
                  <c:v>12</c:v>
                </c:pt>
                <c:pt idx="1">
                  <c:v>10</c:v>
                </c:pt>
                <c:pt idx="2">
                  <c:v>8</c:v>
                </c:pt>
                <c:pt idx="3">
                  <c:v>6</c:v>
                </c:pt>
                <c:pt idx="4">
                  <c:v>4</c:v>
                </c:pt>
                <c:pt idx="5">
                  <c:v>2</c:v>
                </c:pt>
              </c:numCache>
            </c:numRef>
          </c:cat>
          <c:val>
            <c:numRef>
              <c:f>Sheet1!$D$2:$D$7</c:f>
              <c:numCache>
                <c:formatCode>General</c:formatCode>
                <c:ptCount val="6"/>
                <c:pt idx="0">
                  <c:v>260</c:v>
                </c:pt>
                <c:pt idx="1">
                  <c:v>230</c:v>
                </c:pt>
                <c:pt idx="2">
                  <c:v>169</c:v>
                </c:pt>
                <c:pt idx="3">
                  <c:v>105</c:v>
                </c:pt>
                <c:pt idx="4">
                  <c:v>50</c:v>
                </c:pt>
                <c:pt idx="5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CF-401C-98A2-C27EF6E4015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034201312"/>
        <c:axId val="1034203712"/>
      </c:barChart>
      <c:catAx>
        <c:axId val="103420131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/>
                  <a:t>Essay Scores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4203712"/>
        <c:crosses val="autoZero"/>
        <c:auto val="1"/>
        <c:lblAlgn val="ctr"/>
        <c:lblOffset val="100"/>
        <c:noMultiLvlLbl val="0"/>
      </c:catAx>
      <c:valAx>
        <c:axId val="103420371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/>
                  <a:t>Count of Stopwords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4201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Word</a:t>
            </a:r>
            <a:r>
              <a:rPr lang="en-US" baseline="0"/>
              <a:t> Count</a:t>
            </a:r>
            <a:r>
              <a:rPr lang="en-US"/>
              <a:t> Distribution in Dataset</a:t>
            </a:r>
          </a:p>
        </c:rich>
      </c:tx>
      <c:layout>
        <c:manualLayout>
          <c:xMode val="edge"/>
          <c:yMode val="edge"/>
          <c:x val="0.20777207977207973"/>
          <c:y val="2.45506322961496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Average Word Count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Sheet1!$A$2:$A$7</c:f>
              <c:numCache>
                <c:formatCode>General</c:formatCode>
                <c:ptCount val="6"/>
                <c:pt idx="0">
                  <c:v>12</c:v>
                </c:pt>
                <c:pt idx="1">
                  <c:v>10</c:v>
                </c:pt>
                <c:pt idx="2">
                  <c:v>8</c:v>
                </c:pt>
                <c:pt idx="3">
                  <c:v>6</c:v>
                </c:pt>
                <c:pt idx="4">
                  <c:v>4</c:v>
                </c:pt>
                <c:pt idx="5">
                  <c:v>2</c:v>
                </c:pt>
              </c:numCache>
            </c:numRef>
          </c:cat>
          <c:val>
            <c:numRef>
              <c:f>Sheet1!$C$2:$C$7</c:f>
              <c:numCache>
                <c:formatCode>General</c:formatCode>
                <c:ptCount val="6"/>
                <c:pt idx="0">
                  <c:v>554</c:v>
                </c:pt>
                <c:pt idx="1">
                  <c:v>477</c:v>
                </c:pt>
                <c:pt idx="2">
                  <c:v>335</c:v>
                </c:pt>
                <c:pt idx="3">
                  <c:v>208</c:v>
                </c:pt>
                <c:pt idx="4">
                  <c:v>97</c:v>
                </c:pt>
                <c:pt idx="5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0F-4B50-B36C-2A72AB85A3E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034201312"/>
        <c:axId val="1034203712"/>
      </c:barChart>
      <c:catAx>
        <c:axId val="103420131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/>
                  <a:t>Essay Scores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4203712"/>
        <c:crosses val="autoZero"/>
        <c:auto val="1"/>
        <c:lblAlgn val="ctr"/>
        <c:lblOffset val="100"/>
        <c:noMultiLvlLbl val="0"/>
      </c:catAx>
      <c:valAx>
        <c:axId val="103420371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/>
                  <a:t>Count of Words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4201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Sheet2!$E$1</c:f>
              <c:strCache>
                <c:ptCount val="1"/>
                <c:pt idx="0">
                  <c:v>Quadratic Weighted Kappa (QWK)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Sheet2!$B$2:$B$5</c:f>
              <c:strCache>
                <c:ptCount val="4"/>
                <c:pt idx="0">
                  <c:v>Support Vector Regressor</c:v>
                </c:pt>
                <c:pt idx="1">
                  <c:v>Gradient Boosting Regressor</c:v>
                </c:pt>
                <c:pt idx="2">
                  <c:v>Support Vector Classifier</c:v>
                </c:pt>
                <c:pt idx="3">
                  <c:v>K-Nearest Neighbors</c:v>
                </c:pt>
              </c:strCache>
            </c:strRef>
          </c:cat>
          <c:val>
            <c:numRef>
              <c:f>Sheet2!$E$2:$E$5</c:f>
              <c:numCache>
                <c:formatCode>General</c:formatCode>
                <c:ptCount val="4"/>
                <c:pt idx="0">
                  <c:v>0.93269999999999997</c:v>
                </c:pt>
                <c:pt idx="1">
                  <c:v>0.95950000000000002</c:v>
                </c:pt>
                <c:pt idx="2">
                  <c:v>0.85370000000000001</c:v>
                </c:pt>
                <c:pt idx="3">
                  <c:v>0.62660000000000005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73-4A10-A5F5-F19E1D2F1F4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984464208"/>
        <c:axId val="111715984"/>
      </c:barChart>
      <c:catAx>
        <c:axId val="19844642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 b="1"/>
                  <a:t>Models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715984"/>
        <c:crosses val="autoZero"/>
        <c:auto val="1"/>
        <c:lblAlgn val="ctr"/>
        <c:lblOffset val="100"/>
        <c:noMultiLvlLbl val="0"/>
      </c:catAx>
      <c:valAx>
        <c:axId val="11171598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4464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image" Target="../media/image3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2.png"/><Relationship Id="rId5" Type="http://schemas.openxmlformats.org/officeDocument/2006/relationships/image" Target="../media/image1.png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114299</xdr:colOff>
      <xdr:row>8</xdr:row>
      <xdr:rowOff>107944</xdr:rowOff>
    </xdr:from>
    <xdr:to>
      <xdr:col>6</xdr:col>
      <xdr:colOff>236763</xdr:colOff>
      <xdr:row>29</xdr:row>
      <xdr:rowOff>50794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6A85F5-10AB-409B-BB41-6C3AA52968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440871</xdr:colOff>
      <xdr:row>30</xdr:row>
      <xdr:rowOff>121552</xdr:rowOff>
    </xdr:from>
    <xdr:to>
      <xdr:col>13</xdr:col>
      <xdr:colOff>495300</xdr:colOff>
      <xdr:row>51</xdr:row>
      <xdr:rowOff>64402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AA9F761-E541-4CEF-8CAE-C175A4AD7A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105682</xdr:colOff>
      <xdr:row>30</xdr:row>
      <xdr:rowOff>105678</xdr:rowOff>
    </xdr:from>
    <xdr:to>
      <xdr:col>6</xdr:col>
      <xdr:colOff>228146</xdr:colOff>
      <xdr:row>51</xdr:row>
      <xdr:rowOff>48528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5CEB2E6-CF7F-44A1-9B6D-5689F73F4D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428171</xdr:colOff>
      <xdr:row>8</xdr:row>
      <xdr:rowOff>116109</xdr:rowOff>
    </xdr:from>
    <xdr:to>
      <xdr:col>13</xdr:col>
      <xdr:colOff>482600</xdr:colOff>
      <xdr:row>29</xdr:row>
      <xdr:rowOff>58959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D1FEC30-E424-4C52-ADCD-7DBBA5E497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9</xdr:col>
      <xdr:colOff>57150</xdr:colOff>
      <xdr:row>4</xdr:row>
      <xdr:rowOff>25400</xdr:rowOff>
    </xdr:from>
    <xdr:to>
      <xdr:col>10</xdr:col>
      <xdr:colOff>552451</xdr:colOff>
      <xdr:row>7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CE0C7BB-2355-AFD0-CE06-1C40A506E02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l="6465" t="8918" r="12525" b="7362"/>
        <a:stretch>
          <a:fillRect/>
        </a:stretch>
      </xdr:blipFill>
      <xdr:spPr>
        <a:xfrm>
          <a:off x="10077450" y="749300"/>
          <a:ext cx="1352551" cy="536575"/>
        </a:xfrm>
        <a:prstGeom prst="rect">
          <a:avLst/>
        </a:prstGeom>
        <a:ln w="9525">
          <a:solidFill>
            <a:schemeClr val="tx1"/>
          </a:solidFill>
        </a:ln>
      </xdr:spPr>
    </xdr:pic>
    <xdr:clientData/>
  </xdr:twoCellAnchor>
  <xdr:twoCellAnchor editAs="oneCell">
    <xdr:from>
      <xdr:col>11</xdr:col>
      <xdr:colOff>57150</xdr:colOff>
      <xdr:row>4</xdr:row>
      <xdr:rowOff>25400</xdr:rowOff>
    </xdr:from>
    <xdr:to>
      <xdr:col>12</xdr:col>
      <xdr:colOff>890063</xdr:colOff>
      <xdr:row>7</xdr:row>
      <xdr:rowOff>19050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34888BF-4C36-ADC5-5B45-709FE51B0A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544300" y="749300"/>
          <a:ext cx="1442513" cy="536575"/>
        </a:xfrm>
        <a:prstGeom prst="rect">
          <a:avLst/>
        </a:prstGeom>
        <a:ln w="9525">
          <a:solidFill>
            <a:schemeClr val="tx1"/>
          </a:solidFill>
        </a:ln>
      </xdr:spPr>
    </xdr:pic>
    <xdr:clientData/>
  </xdr:twoCellAnchor>
  <xdr:twoCellAnchor editAs="oneCell">
    <xdr:from>
      <xdr:col>12</xdr:col>
      <xdr:colOff>996950</xdr:colOff>
      <xdr:row>4</xdr:row>
      <xdr:rowOff>95250</xdr:rowOff>
    </xdr:from>
    <xdr:to>
      <xdr:col>13</xdr:col>
      <xdr:colOff>409575</xdr:colOff>
      <xdr:row>6</xdr:row>
      <xdr:rowOff>62806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682AB56-A5BA-C57B-D987-24D43376E6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093700" y="819150"/>
          <a:ext cx="860425" cy="329506"/>
        </a:xfrm>
        <a:prstGeom prst="rect">
          <a:avLst/>
        </a:prstGeom>
        <a:ln w="9525"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1031874</xdr:colOff>
      <xdr:row>7</xdr:row>
      <xdr:rowOff>74612</xdr:rowOff>
    </xdr:from>
    <xdr:to>
      <xdr:col>4</xdr:col>
      <xdr:colOff>914400</xdr:colOff>
      <xdr:row>29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D52D4D-FA3D-17EE-2BF6-D9557EA30C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bhatt\OneDrive\Desktop\Sameek\0.%20University%20of%20North%20Texas\UNT%20Masters%20Course\Semester%203%20-%20Fall%202025\CSCE%205310%20-%20Methods%20in%20Empirical%20Analysis\Project\Code\essay_dataset_v1.xlsx" TargetMode="External"/><Relationship Id="rId1" Type="http://schemas.openxmlformats.org/officeDocument/2006/relationships/externalLinkPath" Target="essay_dataset_v1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bhatt\OneDrive\Desktop\Sameek\0.%20University%20of%20North%20Texas\UNT%20Masters%20Course\Semester%203%20-%20Fall%202025\CSCE%205310%20-%20Methods%20in%20Empirical%20Analysis\Project\Code\raw_data_essay_set1.xlsx" TargetMode="External"/><Relationship Id="rId1" Type="http://schemas.openxmlformats.org/officeDocument/2006/relationships/externalLinkPath" Target="raw_data_essay_set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</sheetNames>
    <sheetDataSet>
      <sheetData sheetId="0">
        <row r="2">
          <cell r="C2">
            <v>417</v>
          </cell>
          <cell r="D2">
            <v>175</v>
          </cell>
        </row>
        <row r="3">
          <cell r="C3">
            <v>505</v>
          </cell>
          <cell r="D3">
            <v>253</v>
          </cell>
        </row>
        <row r="4">
          <cell r="C4">
            <v>421</v>
          </cell>
          <cell r="D4">
            <v>167</v>
          </cell>
        </row>
        <row r="5">
          <cell r="C5">
            <v>526</v>
          </cell>
          <cell r="D5">
            <v>229</v>
          </cell>
        </row>
        <row r="6">
          <cell r="C6">
            <v>525</v>
          </cell>
          <cell r="D6">
            <v>252</v>
          </cell>
        </row>
        <row r="7">
          <cell r="C7">
            <v>778</v>
          </cell>
          <cell r="D7">
            <v>345</v>
          </cell>
        </row>
        <row r="8">
          <cell r="C8">
            <v>532</v>
          </cell>
          <cell r="D8">
            <v>274</v>
          </cell>
        </row>
        <row r="9">
          <cell r="C9">
            <v>774</v>
          </cell>
          <cell r="D9">
            <v>403</v>
          </cell>
        </row>
        <row r="10">
          <cell r="C10">
            <v>595</v>
          </cell>
          <cell r="D10">
            <v>270</v>
          </cell>
        </row>
        <row r="11">
          <cell r="C11">
            <v>610</v>
          </cell>
          <cell r="D11">
            <v>304</v>
          </cell>
        </row>
        <row r="12">
          <cell r="C12">
            <v>534</v>
          </cell>
          <cell r="D12">
            <v>257</v>
          </cell>
        </row>
        <row r="13">
          <cell r="C13">
            <v>435</v>
          </cell>
          <cell r="D13">
            <v>186</v>
          </cell>
        </row>
        <row r="14">
          <cell r="C14">
            <v>498</v>
          </cell>
          <cell r="D14">
            <v>225</v>
          </cell>
        </row>
        <row r="15">
          <cell r="C15">
            <v>462</v>
          </cell>
          <cell r="D15">
            <v>210</v>
          </cell>
        </row>
        <row r="16">
          <cell r="C16">
            <v>542</v>
          </cell>
          <cell r="D16">
            <v>251</v>
          </cell>
        </row>
        <row r="17">
          <cell r="C17">
            <v>307</v>
          </cell>
          <cell r="D17">
            <v>154</v>
          </cell>
        </row>
        <row r="18">
          <cell r="C18">
            <v>405</v>
          </cell>
          <cell r="D18">
            <v>182</v>
          </cell>
        </row>
        <row r="19">
          <cell r="C19">
            <v>423</v>
          </cell>
          <cell r="D19">
            <v>198</v>
          </cell>
        </row>
        <row r="20">
          <cell r="C20">
            <v>420</v>
          </cell>
          <cell r="D20">
            <v>192</v>
          </cell>
        </row>
        <row r="21">
          <cell r="C21">
            <v>469</v>
          </cell>
          <cell r="D21">
            <v>227</v>
          </cell>
        </row>
        <row r="22">
          <cell r="C22">
            <v>482</v>
          </cell>
          <cell r="D22">
            <v>264</v>
          </cell>
        </row>
        <row r="23">
          <cell r="C23">
            <v>550</v>
          </cell>
          <cell r="D23">
            <v>278</v>
          </cell>
        </row>
        <row r="24">
          <cell r="C24">
            <v>401</v>
          </cell>
          <cell r="D24">
            <v>174</v>
          </cell>
        </row>
        <row r="25">
          <cell r="C25">
            <v>435</v>
          </cell>
          <cell r="D25">
            <v>215</v>
          </cell>
        </row>
        <row r="26">
          <cell r="C26">
            <v>504</v>
          </cell>
          <cell r="D26">
            <v>263</v>
          </cell>
        </row>
        <row r="27">
          <cell r="C27">
            <v>506</v>
          </cell>
          <cell r="D27">
            <v>273</v>
          </cell>
        </row>
        <row r="28">
          <cell r="C28">
            <v>500</v>
          </cell>
          <cell r="D28">
            <v>204</v>
          </cell>
        </row>
        <row r="29">
          <cell r="C29">
            <v>478</v>
          </cell>
          <cell r="D29">
            <v>274</v>
          </cell>
        </row>
        <row r="30">
          <cell r="C30">
            <v>507</v>
          </cell>
          <cell r="D30">
            <v>220</v>
          </cell>
        </row>
        <row r="31">
          <cell r="C31">
            <v>669</v>
          </cell>
          <cell r="D31">
            <v>348</v>
          </cell>
        </row>
        <row r="32">
          <cell r="C32">
            <v>499</v>
          </cell>
          <cell r="D32">
            <v>214</v>
          </cell>
        </row>
        <row r="33">
          <cell r="C33">
            <v>422</v>
          </cell>
          <cell r="D33">
            <v>206</v>
          </cell>
        </row>
        <row r="34">
          <cell r="C34">
            <v>492</v>
          </cell>
          <cell r="D34">
            <v>233</v>
          </cell>
        </row>
        <row r="35">
          <cell r="C35">
            <v>463</v>
          </cell>
          <cell r="D35">
            <v>216</v>
          </cell>
        </row>
        <row r="36">
          <cell r="C36">
            <v>513</v>
          </cell>
          <cell r="D36">
            <v>274</v>
          </cell>
        </row>
        <row r="37">
          <cell r="C37">
            <v>512</v>
          </cell>
          <cell r="D37">
            <v>223</v>
          </cell>
        </row>
        <row r="38">
          <cell r="C38">
            <v>279</v>
          </cell>
          <cell r="D38">
            <v>140</v>
          </cell>
        </row>
        <row r="39">
          <cell r="C39">
            <v>379</v>
          </cell>
          <cell r="D39">
            <v>191</v>
          </cell>
        </row>
        <row r="40">
          <cell r="C40">
            <v>333</v>
          </cell>
          <cell r="D40">
            <v>174</v>
          </cell>
        </row>
        <row r="41">
          <cell r="C41">
            <v>266</v>
          </cell>
          <cell r="D41">
            <v>116</v>
          </cell>
        </row>
        <row r="42">
          <cell r="C42">
            <v>331</v>
          </cell>
          <cell r="D42">
            <v>169</v>
          </cell>
        </row>
        <row r="43">
          <cell r="C43">
            <v>319</v>
          </cell>
          <cell r="D43">
            <v>176</v>
          </cell>
        </row>
        <row r="44">
          <cell r="C44">
            <v>373</v>
          </cell>
          <cell r="D44">
            <v>191</v>
          </cell>
        </row>
        <row r="45">
          <cell r="C45">
            <v>305</v>
          </cell>
          <cell r="D45">
            <v>138</v>
          </cell>
        </row>
        <row r="46">
          <cell r="C46">
            <v>261</v>
          </cell>
          <cell r="D46">
            <v>132</v>
          </cell>
        </row>
        <row r="47">
          <cell r="C47">
            <v>561</v>
          </cell>
          <cell r="D47">
            <v>303</v>
          </cell>
        </row>
        <row r="48">
          <cell r="C48">
            <v>209</v>
          </cell>
          <cell r="D48">
            <v>89</v>
          </cell>
        </row>
        <row r="49">
          <cell r="C49">
            <v>187</v>
          </cell>
          <cell r="D49">
            <v>92</v>
          </cell>
        </row>
        <row r="50">
          <cell r="C50">
            <v>312</v>
          </cell>
          <cell r="D50">
            <v>140</v>
          </cell>
        </row>
        <row r="51">
          <cell r="C51">
            <v>248</v>
          </cell>
          <cell r="D51">
            <v>114</v>
          </cell>
        </row>
        <row r="52">
          <cell r="C52">
            <v>357</v>
          </cell>
          <cell r="D52">
            <v>173</v>
          </cell>
        </row>
        <row r="53">
          <cell r="C53">
            <v>389</v>
          </cell>
          <cell r="D53">
            <v>169</v>
          </cell>
        </row>
        <row r="54">
          <cell r="C54">
            <v>387</v>
          </cell>
          <cell r="D54">
            <v>181</v>
          </cell>
        </row>
        <row r="55">
          <cell r="C55">
            <v>325</v>
          </cell>
          <cell r="D55">
            <v>174</v>
          </cell>
        </row>
        <row r="56">
          <cell r="C56">
            <v>343</v>
          </cell>
          <cell r="D56">
            <v>164</v>
          </cell>
        </row>
        <row r="57">
          <cell r="C57">
            <v>448</v>
          </cell>
          <cell r="D57">
            <v>257</v>
          </cell>
        </row>
        <row r="58">
          <cell r="C58">
            <v>267</v>
          </cell>
          <cell r="D58">
            <v>138</v>
          </cell>
        </row>
        <row r="59">
          <cell r="C59">
            <v>332</v>
          </cell>
          <cell r="D59">
            <v>192</v>
          </cell>
        </row>
        <row r="60">
          <cell r="C60">
            <v>272</v>
          </cell>
          <cell r="D60">
            <v>128</v>
          </cell>
        </row>
        <row r="61">
          <cell r="C61">
            <v>374</v>
          </cell>
          <cell r="D61">
            <v>173</v>
          </cell>
        </row>
        <row r="62">
          <cell r="C62">
            <v>336</v>
          </cell>
          <cell r="D62">
            <v>170</v>
          </cell>
        </row>
        <row r="63">
          <cell r="C63">
            <v>314</v>
          </cell>
          <cell r="D63">
            <v>177</v>
          </cell>
        </row>
        <row r="64">
          <cell r="C64">
            <v>383</v>
          </cell>
          <cell r="D64">
            <v>196</v>
          </cell>
        </row>
        <row r="65">
          <cell r="C65">
            <v>255</v>
          </cell>
          <cell r="D65">
            <v>148</v>
          </cell>
        </row>
        <row r="66">
          <cell r="C66">
            <v>346</v>
          </cell>
          <cell r="D66">
            <v>185</v>
          </cell>
        </row>
        <row r="67">
          <cell r="C67">
            <v>344</v>
          </cell>
          <cell r="D67">
            <v>200</v>
          </cell>
        </row>
        <row r="68">
          <cell r="C68">
            <v>348</v>
          </cell>
          <cell r="D68">
            <v>162</v>
          </cell>
        </row>
        <row r="69">
          <cell r="C69">
            <v>269</v>
          </cell>
          <cell r="D69">
            <v>124</v>
          </cell>
        </row>
        <row r="70">
          <cell r="C70">
            <v>378</v>
          </cell>
          <cell r="D70">
            <v>192</v>
          </cell>
        </row>
        <row r="71">
          <cell r="C71">
            <v>343</v>
          </cell>
          <cell r="D71">
            <v>180</v>
          </cell>
        </row>
        <row r="72">
          <cell r="C72">
            <v>363</v>
          </cell>
          <cell r="D72">
            <v>147</v>
          </cell>
        </row>
        <row r="73">
          <cell r="C73">
            <v>399</v>
          </cell>
          <cell r="D73">
            <v>170</v>
          </cell>
        </row>
        <row r="74">
          <cell r="C74">
            <v>486</v>
          </cell>
          <cell r="D74">
            <v>257</v>
          </cell>
        </row>
        <row r="75">
          <cell r="C75">
            <v>354</v>
          </cell>
          <cell r="D75">
            <v>184</v>
          </cell>
        </row>
        <row r="76">
          <cell r="C76">
            <v>302</v>
          </cell>
          <cell r="D76">
            <v>174</v>
          </cell>
        </row>
        <row r="77">
          <cell r="C77">
            <v>171</v>
          </cell>
          <cell r="D77">
            <v>79</v>
          </cell>
        </row>
        <row r="78">
          <cell r="C78">
            <v>172</v>
          </cell>
          <cell r="D78">
            <v>77</v>
          </cell>
        </row>
        <row r="79">
          <cell r="C79">
            <v>140</v>
          </cell>
          <cell r="D79">
            <v>70</v>
          </cell>
        </row>
        <row r="80">
          <cell r="C80">
            <v>177</v>
          </cell>
          <cell r="D80">
            <v>86</v>
          </cell>
        </row>
        <row r="81">
          <cell r="C81">
            <v>230</v>
          </cell>
          <cell r="D81">
            <v>133</v>
          </cell>
        </row>
        <row r="82">
          <cell r="C82">
            <v>324</v>
          </cell>
          <cell r="D82">
            <v>190</v>
          </cell>
        </row>
        <row r="83">
          <cell r="C83">
            <v>180</v>
          </cell>
          <cell r="D83">
            <v>87</v>
          </cell>
        </row>
        <row r="84">
          <cell r="C84">
            <v>197</v>
          </cell>
          <cell r="D84">
            <v>111</v>
          </cell>
        </row>
        <row r="85">
          <cell r="C85">
            <v>251</v>
          </cell>
          <cell r="D85">
            <v>126</v>
          </cell>
        </row>
        <row r="86">
          <cell r="C86">
            <v>150</v>
          </cell>
          <cell r="D86">
            <v>66</v>
          </cell>
        </row>
        <row r="87">
          <cell r="C87">
            <v>174</v>
          </cell>
          <cell r="D87">
            <v>89</v>
          </cell>
        </row>
        <row r="88">
          <cell r="C88">
            <v>139</v>
          </cell>
          <cell r="D88">
            <v>78</v>
          </cell>
        </row>
        <row r="89">
          <cell r="C89">
            <v>307</v>
          </cell>
          <cell r="D89">
            <v>136</v>
          </cell>
        </row>
        <row r="90">
          <cell r="C90">
            <v>237</v>
          </cell>
          <cell r="D90">
            <v>121</v>
          </cell>
        </row>
        <row r="91">
          <cell r="C91">
            <v>221</v>
          </cell>
          <cell r="D91">
            <v>104</v>
          </cell>
        </row>
        <row r="92">
          <cell r="C92">
            <v>235</v>
          </cell>
          <cell r="D92">
            <v>135</v>
          </cell>
        </row>
        <row r="93">
          <cell r="C93">
            <v>227</v>
          </cell>
          <cell r="D93">
            <v>106</v>
          </cell>
        </row>
        <row r="94">
          <cell r="C94">
            <v>326</v>
          </cell>
          <cell r="D94">
            <v>197</v>
          </cell>
        </row>
        <row r="95">
          <cell r="C95">
            <v>224</v>
          </cell>
          <cell r="D95">
            <v>102</v>
          </cell>
        </row>
        <row r="96">
          <cell r="C96">
            <v>181</v>
          </cell>
          <cell r="D96">
            <v>97</v>
          </cell>
        </row>
        <row r="97">
          <cell r="C97">
            <v>126</v>
          </cell>
          <cell r="D97">
            <v>53</v>
          </cell>
        </row>
        <row r="98">
          <cell r="C98">
            <v>148</v>
          </cell>
          <cell r="D98">
            <v>81</v>
          </cell>
        </row>
        <row r="99">
          <cell r="C99">
            <v>160</v>
          </cell>
          <cell r="D99">
            <v>74</v>
          </cell>
        </row>
        <row r="100">
          <cell r="C100">
            <v>166</v>
          </cell>
          <cell r="D100">
            <v>88</v>
          </cell>
        </row>
        <row r="101">
          <cell r="C101">
            <v>218</v>
          </cell>
          <cell r="D101">
            <v>127</v>
          </cell>
        </row>
        <row r="102">
          <cell r="C102">
            <v>273</v>
          </cell>
          <cell r="D102">
            <v>119</v>
          </cell>
        </row>
        <row r="103">
          <cell r="C103">
            <v>175</v>
          </cell>
          <cell r="D103">
            <v>90</v>
          </cell>
        </row>
        <row r="104">
          <cell r="C104">
            <v>233</v>
          </cell>
          <cell r="D104">
            <v>99</v>
          </cell>
        </row>
        <row r="105">
          <cell r="C105">
            <v>190</v>
          </cell>
          <cell r="D105">
            <v>118</v>
          </cell>
        </row>
        <row r="106">
          <cell r="C106">
            <v>181</v>
          </cell>
          <cell r="D106">
            <v>61</v>
          </cell>
        </row>
        <row r="107">
          <cell r="C107">
            <v>200</v>
          </cell>
          <cell r="D107">
            <v>107</v>
          </cell>
        </row>
        <row r="108">
          <cell r="C108">
            <v>229</v>
          </cell>
          <cell r="D108">
            <v>134</v>
          </cell>
        </row>
        <row r="109">
          <cell r="C109">
            <v>185</v>
          </cell>
          <cell r="D109">
            <v>96</v>
          </cell>
        </row>
        <row r="110">
          <cell r="C110">
            <v>158</v>
          </cell>
          <cell r="D110">
            <v>75</v>
          </cell>
        </row>
        <row r="111">
          <cell r="C111">
            <v>203</v>
          </cell>
          <cell r="D111">
            <v>93</v>
          </cell>
        </row>
        <row r="112">
          <cell r="C112">
            <v>212</v>
          </cell>
          <cell r="D112">
            <v>96</v>
          </cell>
        </row>
        <row r="113">
          <cell r="C113">
            <v>212</v>
          </cell>
          <cell r="D113">
            <v>117</v>
          </cell>
        </row>
        <row r="114">
          <cell r="C114">
            <v>268</v>
          </cell>
          <cell r="D114">
            <v>119</v>
          </cell>
        </row>
        <row r="115">
          <cell r="C115">
            <v>315</v>
          </cell>
          <cell r="D115">
            <v>161</v>
          </cell>
        </row>
        <row r="116">
          <cell r="C116">
            <v>66</v>
          </cell>
          <cell r="D116">
            <v>24</v>
          </cell>
        </row>
        <row r="117">
          <cell r="C117">
            <v>120</v>
          </cell>
          <cell r="D117">
            <v>60</v>
          </cell>
        </row>
        <row r="118">
          <cell r="C118">
            <v>68</v>
          </cell>
          <cell r="D118">
            <v>31</v>
          </cell>
        </row>
        <row r="119">
          <cell r="C119">
            <v>53</v>
          </cell>
          <cell r="D119">
            <v>24</v>
          </cell>
        </row>
        <row r="120">
          <cell r="C120">
            <v>63</v>
          </cell>
          <cell r="D120">
            <v>24</v>
          </cell>
        </row>
        <row r="121">
          <cell r="C121">
            <v>159</v>
          </cell>
          <cell r="D121">
            <v>93</v>
          </cell>
        </row>
        <row r="122">
          <cell r="C122">
            <v>90</v>
          </cell>
          <cell r="D122">
            <v>50</v>
          </cell>
        </row>
        <row r="123">
          <cell r="C123">
            <v>136</v>
          </cell>
          <cell r="D123">
            <v>66</v>
          </cell>
        </row>
        <row r="124">
          <cell r="C124">
            <v>126</v>
          </cell>
          <cell r="D124">
            <v>53</v>
          </cell>
        </row>
        <row r="125">
          <cell r="C125">
            <v>120</v>
          </cell>
          <cell r="D125">
            <v>75</v>
          </cell>
        </row>
        <row r="126">
          <cell r="C126">
            <v>74</v>
          </cell>
          <cell r="D126">
            <v>41</v>
          </cell>
        </row>
        <row r="127">
          <cell r="C127">
            <v>100</v>
          </cell>
          <cell r="D127">
            <v>61</v>
          </cell>
        </row>
        <row r="128">
          <cell r="C128">
            <v>94</v>
          </cell>
          <cell r="D128">
            <v>52</v>
          </cell>
        </row>
        <row r="129">
          <cell r="C129">
            <v>76</v>
          </cell>
          <cell r="D129">
            <v>34</v>
          </cell>
        </row>
        <row r="130">
          <cell r="C130">
            <v>86</v>
          </cell>
          <cell r="D130">
            <v>46</v>
          </cell>
        </row>
        <row r="131">
          <cell r="C131">
            <v>127</v>
          </cell>
          <cell r="D131">
            <v>66</v>
          </cell>
        </row>
        <row r="132">
          <cell r="C132">
            <v>97</v>
          </cell>
          <cell r="D132">
            <v>49</v>
          </cell>
        </row>
        <row r="133">
          <cell r="C133">
            <v>41</v>
          </cell>
          <cell r="D133">
            <v>20</v>
          </cell>
        </row>
        <row r="134">
          <cell r="C134">
            <v>8</v>
          </cell>
          <cell r="D134">
            <v>5</v>
          </cell>
        </row>
        <row r="135">
          <cell r="C135">
            <v>23</v>
          </cell>
          <cell r="D135">
            <v>9</v>
          </cell>
        </row>
        <row r="136">
          <cell r="C136">
            <v>16</v>
          </cell>
          <cell r="D136">
            <v>6</v>
          </cell>
        </row>
        <row r="137">
          <cell r="C137">
            <v>20</v>
          </cell>
          <cell r="D137">
            <v>9</v>
          </cell>
        </row>
        <row r="138">
          <cell r="C138">
            <v>53</v>
          </cell>
          <cell r="D138">
            <v>32</v>
          </cell>
        </row>
        <row r="139">
          <cell r="C139">
            <v>27</v>
          </cell>
          <cell r="D139">
            <v>13</v>
          </cell>
        </row>
        <row r="140">
          <cell r="C140">
            <v>50</v>
          </cell>
          <cell r="D140">
            <v>23</v>
          </cell>
        </row>
        <row r="141">
          <cell r="C141">
            <v>32</v>
          </cell>
          <cell r="D141">
            <v>16</v>
          </cell>
        </row>
        <row r="142">
          <cell r="C142">
            <v>15</v>
          </cell>
          <cell r="D142">
            <v>7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C1" t="str">
            <v>domain1_score</v>
          </cell>
        </row>
        <row r="2">
          <cell r="C2">
            <v>12</v>
          </cell>
        </row>
        <row r="3">
          <cell r="C3">
            <v>12</v>
          </cell>
        </row>
        <row r="4">
          <cell r="C4">
            <v>12</v>
          </cell>
        </row>
        <row r="5">
          <cell r="C5">
            <v>12</v>
          </cell>
        </row>
        <row r="6">
          <cell r="C6">
            <v>12</v>
          </cell>
        </row>
        <row r="7">
          <cell r="C7">
            <v>12</v>
          </cell>
        </row>
        <row r="8">
          <cell r="C8">
            <v>12</v>
          </cell>
        </row>
        <row r="9">
          <cell r="C9">
            <v>12</v>
          </cell>
        </row>
        <row r="10">
          <cell r="C10">
            <v>12</v>
          </cell>
        </row>
        <row r="11">
          <cell r="C11">
            <v>12</v>
          </cell>
        </row>
        <row r="12">
          <cell r="C12">
            <v>12</v>
          </cell>
        </row>
        <row r="13">
          <cell r="C13">
            <v>12</v>
          </cell>
        </row>
        <row r="14">
          <cell r="C14">
            <v>10</v>
          </cell>
        </row>
        <row r="15">
          <cell r="C15">
            <v>10</v>
          </cell>
        </row>
        <row r="16">
          <cell r="C16">
            <v>10</v>
          </cell>
        </row>
        <row r="17">
          <cell r="C17">
            <v>10</v>
          </cell>
        </row>
        <row r="18">
          <cell r="C18">
            <v>10</v>
          </cell>
        </row>
        <row r="19">
          <cell r="C19">
            <v>10</v>
          </cell>
        </row>
        <row r="20">
          <cell r="C20">
            <v>10</v>
          </cell>
        </row>
        <row r="21">
          <cell r="C21">
            <v>10</v>
          </cell>
        </row>
        <row r="22">
          <cell r="C22">
            <v>10</v>
          </cell>
        </row>
        <row r="23">
          <cell r="C23">
            <v>10</v>
          </cell>
        </row>
        <row r="24">
          <cell r="C24">
            <v>10</v>
          </cell>
        </row>
        <row r="25">
          <cell r="C25">
            <v>10</v>
          </cell>
        </row>
        <row r="26">
          <cell r="C26">
            <v>10</v>
          </cell>
        </row>
        <row r="27">
          <cell r="C27">
            <v>10</v>
          </cell>
        </row>
        <row r="28">
          <cell r="C28">
            <v>10</v>
          </cell>
        </row>
        <row r="29">
          <cell r="C29">
            <v>10</v>
          </cell>
        </row>
        <row r="30">
          <cell r="C30">
            <v>10</v>
          </cell>
        </row>
        <row r="31">
          <cell r="C31">
            <v>10</v>
          </cell>
        </row>
        <row r="32">
          <cell r="C32">
            <v>10</v>
          </cell>
        </row>
        <row r="33">
          <cell r="C33">
            <v>10</v>
          </cell>
        </row>
        <row r="34">
          <cell r="C34">
            <v>10</v>
          </cell>
        </row>
        <row r="35">
          <cell r="C35">
            <v>10</v>
          </cell>
        </row>
        <row r="36">
          <cell r="C36">
            <v>10</v>
          </cell>
        </row>
        <row r="37">
          <cell r="C37">
            <v>10</v>
          </cell>
        </row>
        <row r="38">
          <cell r="C38">
            <v>8</v>
          </cell>
        </row>
        <row r="39">
          <cell r="C39">
            <v>8</v>
          </cell>
        </row>
        <row r="40">
          <cell r="C40">
            <v>8</v>
          </cell>
        </row>
        <row r="41">
          <cell r="C41">
            <v>8</v>
          </cell>
        </row>
        <row r="42">
          <cell r="C42">
            <v>8</v>
          </cell>
        </row>
        <row r="43">
          <cell r="C43">
            <v>8</v>
          </cell>
        </row>
        <row r="44">
          <cell r="C44">
            <v>8</v>
          </cell>
        </row>
        <row r="45">
          <cell r="C45">
            <v>8</v>
          </cell>
        </row>
        <row r="46">
          <cell r="C46">
            <v>8</v>
          </cell>
        </row>
        <row r="47">
          <cell r="C47">
            <v>8</v>
          </cell>
        </row>
        <row r="48">
          <cell r="C48">
            <v>8</v>
          </cell>
        </row>
        <row r="49">
          <cell r="C49">
            <v>8</v>
          </cell>
        </row>
        <row r="50">
          <cell r="C50">
            <v>8</v>
          </cell>
        </row>
        <row r="51">
          <cell r="C51">
            <v>8</v>
          </cell>
        </row>
        <row r="52">
          <cell r="C52">
            <v>8</v>
          </cell>
        </row>
        <row r="53">
          <cell r="C53">
            <v>8</v>
          </cell>
        </row>
        <row r="54">
          <cell r="C54">
            <v>8</v>
          </cell>
        </row>
        <row r="55">
          <cell r="C55">
            <v>8</v>
          </cell>
        </row>
        <row r="56">
          <cell r="C56">
            <v>8</v>
          </cell>
        </row>
        <row r="57">
          <cell r="C57">
            <v>8</v>
          </cell>
        </row>
        <row r="58">
          <cell r="C58">
            <v>8</v>
          </cell>
        </row>
        <row r="59">
          <cell r="C59">
            <v>8</v>
          </cell>
        </row>
        <row r="60">
          <cell r="C60">
            <v>8</v>
          </cell>
        </row>
        <row r="61">
          <cell r="C61">
            <v>8</v>
          </cell>
        </row>
        <row r="62">
          <cell r="C62">
            <v>8</v>
          </cell>
        </row>
        <row r="63">
          <cell r="C63">
            <v>8</v>
          </cell>
        </row>
        <row r="64">
          <cell r="C64">
            <v>8</v>
          </cell>
        </row>
        <row r="65">
          <cell r="C65">
            <v>8</v>
          </cell>
        </row>
        <row r="66">
          <cell r="C66">
            <v>8</v>
          </cell>
        </row>
        <row r="67">
          <cell r="C67">
            <v>8</v>
          </cell>
        </row>
        <row r="68">
          <cell r="C68">
            <v>8</v>
          </cell>
        </row>
        <row r="69">
          <cell r="C69">
            <v>8</v>
          </cell>
        </row>
        <row r="70">
          <cell r="C70">
            <v>8</v>
          </cell>
        </row>
        <row r="71">
          <cell r="C71">
            <v>8</v>
          </cell>
        </row>
        <row r="72">
          <cell r="C72">
            <v>8</v>
          </cell>
        </row>
        <row r="73">
          <cell r="C73">
            <v>8</v>
          </cell>
        </row>
        <row r="74">
          <cell r="C74">
            <v>8</v>
          </cell>
        </row>
        <row r="75">
          <cell r="C75">
            <v>8</v>
          </cell>
        </row>
        <row r="76">
          <cell r="C76">
            <v>8</v>
          </cell>
        </row>
        <row r="77">
          <cell r="C77">
            <v>6</v>
          </cell>
        </row>
        <row r="78">
          <cell r="C78">
            <v>6</v>
          </cell>
        </row>
        <row r="79">
          <cell r="C79">
            <v>6</v>
          </cell>
        </row>
        <row r="80">
          <cell r="C80">
            <v>6</v>
          </cell>
        </row>
        <row r="81">
          <cell r="C81">
            <v>6</v>
          </cell>
        </row>
        <row r="82">
          <cell r="C82">
            <v>6</v>
          </cell>
        </row>
        <row r="83">
          <cell r="C83">
            <v>6</v>
          </cell>
        </row>
        <row r="84">
          <cell r="C84">
            <v>6</v>
          </cell>
        </row>
        <row r="85">
          <cell r="C85">
            <v>6</v>
          </cell>
        </row>
        <row r="86">
          <cell r="C86">
            <v>6</v>
          </cell>
        </row>
        <row r="87">
          <cell r="C87">
            <v>6</v>
          </cell>
        </row>
        <row r="88">
          <cell r="C88">
            <v>6</v>
          </cell>
        </row>
        <row r="89">
          <cell r="C89">
            <v>6</v>
          </cell>
        </row>
        <row r="90">
          <cell r="C90">
            <v>6</v>
          </cell>
        </row>
        <row r="91">
          <cell r="C91">
            <v>6</v>
          </cell>
        </row>
        <row r="92">
          <cell r="C92">
            <v>6</v>
          </cell>
        </row>
        <row r="93">
          <cell r="C93">
            <v>6</v>
          </cell>
        </row>
        <row r="94">
          <cell r="C94">
            <v>6</v>
          </cell>
        </row>
        <row r="95">
          <cell r="C95">
            <v>6</v>
          </cell>
        </row>
        <row r="96">
          <cell r="C96">
            <v>6</v>
          </cell>
        </row>
        <row r="97">
          <cell r="C97">
            <v>6</v>
          </cell>
        </row>
        <row r="98">
          <cell r="C98">
            <v>6</v>
          </cell>
        </row>
        <row r="99">
          <cell r="C99">
            <v>6</v>
          </cell>
        </row>
        <row r="100">
          <cell r="C100">
            <v>6</v>
          </cell>
        </row>
        <row r="101">
          <cell r="C101">
            <v>6</v>
          </cell>
        </row>
        <row r="102">
          <cell r="C102">
            <v>6</v>
          </cell>
        </row>
        <row r="103">
          <cell r="C103">
            <v>6</v>
          </cell>
        </row>
        <row r="104">
          <cell r="C104">
            <v>6</v>
          </cell>
        </row>
        <row r="105">
          <cell r="C105">
            <v>6</v>
          </cell>
        </row>
        <row r="106">
          <cell r="C106">
            <v>6</v>
          </cell>
        </row>
        <row r="107">
          <cell r="C107">
            <v>6</v>
          </cell>
        </row>
        <row r="108">
          <cell r="C108">
            <v>6</v>
          </cell>
        </row>
        <row r="109">
          <cell r="C109">
            <v>6</v>
          </cell>
        </row>
        <row r="110">
          <cell r="C110">
            <v>6</v>
          </cell>
        </row>
        <row r="111">
          <cell r="C111">
            <v>6</v>
          </cell>
        </row>
        <row r="112">
          <cell r="C112">
            <v>6</v>
          </cell>
        </row>
        <row r="113">
          <cell r="C113">
            <v>6</v>
          </cell>
        </row>
        <row r="114">
          <cell r="C114">
            <v>6</v>
          </cell>
        </row>
        <row r="115">
          <cell r="C115">
            <v>6</v>
          </cell>
        </row>
        <row r="116">
          <cell r="C116">
            <v>4</v>
          </cell>
        </row>
        <row r="117">
          <cell r="C117">
            <v>4</v>
          </cell>
        </row>
        <row r="118">
          <cell r="C118">
            <v>4</v>
          </cell>
        </row>
        <row r="119">
          <cell r="C119">
            <v>4</v>
          </cell>
        </row>
        <row r="120">
          <cell r="C120">
            <v>4</v>
          </cell>
        </row>
        <row r="121">
          <cell r="C121">
            <v>4</v>
          </cell>
        </row>
        <row r="122">
          <cell r="C122">
            <v>4</v>
          </cell>
        </row>
        <row r="123">
          <cell r="C123">
            <v>4</v>
          </cell>
        </row>
        <row r="124">
          <cell r="C124">
            <v>4</v>
          </cell>
        </row>
        <row r="125">
          <cell r="C125">
            <v>4</v>
          </cell>
        </row>
        <row r="126">
          <cell r="C126">
            <v>4</v>
          </cell>
        </row>
        <row r="127">
          <cell r="C127">
            <v>4</v>
          </cell>
        </row>
        <row r="128">
          <cell r="C128">
            <v>4</v>
          </cell>
        </row>
        <row r="129">
          <cell r="C129">
            <v>4</v>
          </cell>
        </row>
        <row r="130">
          <cell r="C130">
            <v>4</v>
          </cell>
        </row>
        <row r="131">
          <cell r="C131">
            <v>4</v>
          </cell>
        </row>
        <row r="132">
          <cell r="C132">
            <v>4</v>
          </cell>
        </row>
        <row r="133">
          <cell r="C133">
            <v>2</v>
          </cell>
        </row>
        <row r="134">
          <cell r="C134">
            <v>2</v>
          </cell>
        </row>
        <row r="135">
          <cell r="C135">
            <v>2</v>
          </cell>
        </row>
        <row r="136">
          <cell r="C136">
            <v>2</v>
          </cell>
        </row>
        <row r="137">
          <cell r="C137">
            <v>2</v>
          </cell>
        </row>
        <row r="138">
          <cell r="C138">
            <v>2</v>
          </cell>
        </row>
        <row r="139">
          <cell r="C139">
            <v>2</v>
          </cell>
        </row>
        <row r="140">
          <cell r="C140">
            <v>2</v>
          </cell>
        </row>
        <row r="141">
          <cell r="C141">
            <v>2</v>
          </cell>
        </row>
        <row r="142">
          <cell r="C142">
            <v>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F5089-D110-4A94-A74A-1880959683F7}">
  <dimension ref="A1:N8"/>
  <sheetViews>
    <sheetView tabSelected="1" zoomScale="85" zoomScaleNormal="85" workbookViewId="0">
      <selection activeCell="P27" sqref="P27"/>
    </sheetView>
  </sheetViews>
  <sheetFormatPr defaultRowHeight="14.5" x14ac:dyDescent="0.35"/>
  <cols>
    <col min="1" max="1" width="10.453125" bestFit="1" customWidth="1"/>
    <col min="3" max="3" width="23.453125" bestFit="1" customWidth="1"/>
    <col min="4" max="4" width="22.36328125" bestFit="1" customWidth="1"/>
    <col min="5" max="5" width="18.90625" bestFit="1" customWidth="1"/>
    <col min="6" max="6" width="12.54296875" bestFit="1" customWidth="1"/>
    <col min="7" max="7" width="15.36328125" customWidth="1"/>
    <col min="8" max="8" width="22.7265625" bestFit="1" customWidth="1"/>
    <col min="10" max="10" width="12.26953125" bestFit="1" customWidth="1"/>
    <col min="13" max="13" width="20.7265625" bestFit="1" customWidth="1"/>
    <col min="17" max="17" width="19.6328125" customWidth="1"/>
  </cols>
  <sheetData>
    <row r="1" spans="1:14" x14ac:dyDescent="0.35">
      <c r="A1" s="2" t="s">
        <v>6</v>
      </c>
      <c r="B1" s="3" t="s">
        <v>5</v>
      </c>
      <c r="C1" s="2" t="s">
        <v>4</v>
      </c>
      <c r="D1" s="2" t="s">
        <v>3</v>
      </c>
      <c r="E1" s="2" t="s">
        <v>2</v>
      </c>
      <c r="F1" s="11" t="s">
        <v>26</v>
      </c>
      <c r="G1" s="11" t="s">
        <v>24</v>
      </c>
      <c r="H1" s="11" t="s">
        <v>25</v>
      </c>
      <c r="J1" s="18" t="s">
        <v>23</v>
      </c>
      <c r="K1" s="19">
        <f>F8/B8</f>
        <v>7.2198581560283692</v>
      </c>
      <c r="M1" s="21" t="s">
        <v>1</v>
      </c>
      <c r="N1" s="22">
        <v>141</v>
      </c>
    </row>
    <row r="2" spans="1:14" x14ac:dyDescent="0.35">
      <c r="A2" s="1">
        <v>12</v>
      </c>
      <c r="B2" s="1">
        <f>COUNTIF([2]Sheet1!C:C,12)</f>
        <v>12</v>
      </c>
      <c r="C2" s="14">
        <f>ROUND(AVERAGE([1]Sheet1!C2:C13),0)</f>
        <v>554</v>
      </c>
      <c r="D2" s="14">
        <f>ROUND(AVERAGE([1]Sheet1!D2:D13),0)</f>
        <v>260</v>
      </c>
      <c r="E2" s="15">
        <v>1218</v>
      </c>
      <c r="F2" s="16">
        <f>A2*B2</f>
        <v>144</v>
      </c>
      <c r="G2">
        <f>POWER((A2-$K$1),2)</f>
        <v>22.849756048488501</v>
      </c>
      <c r="H2">
        <f>B2*G2</f>
        <v>274.19707258186202</v>
      </c>
      <c r="J2" s="20" t="s">
        <v>27</v>
      </c>
      <c r="K2" s="19">
        <f>H8/B8</f>
        <v>7.0225843770434073</v>
      </c>
      <c r="M2" s="21" t="s">
        <v>0</v>
      </c>
      <c r="N2" s="22">
        <v>3146</v>
      </c>
    </row>
    <row r="3" spans="1:14" x14ac:dyDescent="0.35">
      <c r="A3" s="1">
        <v>10</v>
      </c>
      <c r="B3" s="1">
        <f>COUNTIF([2]Sheet1!C:C,10)</f>
        <v>24</v>
      </c>
      <c r="C3" s="16">
        <f>ROUND(AVERAGE([1]Sheet1!C14:C37),0)</f>
        <v>477</v>
      </c>
      <c r="D3" s="16">
        <f>ROUND(AVERAGE([1]Sheet1!D14:D37),0)</f>
        <v>230</v>
      </c>
      <c r="E3" s="17">
        <v>1528</v>
      </c>
      <c r="F3" s="16">
        <f t="shared" ref="F3:F7" si="0">A3*B3</f>
        <v>240</v>
      </c>
      <c r="G3">
        <f t="shared" ref="G3:G7" si="1">POWER((A3-$K$1),2)</f>
        <v>7.7291886726019792</v>
      </c>
      <c r="H3">
        <f t="shared" ref="H3:H7" si="2">B3*G3</f>
        <v>185.50052814244751</v>
      </c>
      <c r="J3" s="18" t="s">
        <v>21</v>
      </c>
      <c r="K3" s="19">
        <f>SQRT(K2)</f>
        <v>2.6500159201490483</v>
      </c>
    </row>
    <row r="4" spans="1:14" x14ac:dyDescent="0.35">
      <c r="A4" s="1">
        <v>8</v>
      </c>
      <c r="B4" s="1">
        <f>COUNTIF([2]Sheet1!C:C,8)</f>
        <v>39</v>
      </c>
      <c r="C4" s="16">
        <f>ROUND(AVERAGE([1]Sheet1!C38:C76),0)</f>
        <v>335</v>
      </c>
      <c r="D4" s="16">
        <f>ROUND(AVERAGE([1]Sheet1!D38:D76),0)</f>
        <v>169</v>
      </c>
      <c r="E4" s="17">
        <v>1411</v>
      </c>
      <c r="F4" s="16">
        <f t="shared" si="0"/>
        <v>312</v>
      </c>
      <c r="G4">
        <f t="shared" si="1"/>
        <v>0.60862129671545628</v>
      </c>
      <c r="H4">
        <f t="shared" si="2"/>
        <v>23.736230571902794</v>
      </c>
    </row>
    <row r="5" spans="1:14" x14ac:dyDescent="0.35">
      <c r="A5" s="1">
        <v>6</v>
      </c>
      <c r="B5" s="1">
        <f>COUNTIF([2]Sheet1!C:C,6)</f>
        <v>39</v>
      </c>
      <c r="C5" s="16">
        <f>ROUND(AVERAGE([1]Sheet1!C77:C115),0)</f>
        <v>208</v>
      </c>
      <c r="D5" s="16">
        <f>ROUND(AVERAGE([1]Sheet1!D77:D115),0)</f>
        <v>105</v>
      </c>
      <c r="E5" s="17">
        <v>937</v>
      </c>
      <c r="F5" s="16">
        <f t="shared" si="0"/>
        <v>234</v>
      </c>
      <c r="G5">
        <f t="shared" si="1"/>
        <v>1.4880539208289332</v>
      </c>
      <c r="H5">
        <f t="shared" si="2"/>
        <v>58.034102912328393</v>
      </c>
    </row>
    <row r="6" spans="1:14" x14ac:dyDescent="0.35">
      <c r="A6" s="1">
        <v>4</v>
      </c>
      <c r="B6" s="1">
        <f>COUNTIF([2]Sheet1!C:C,4)</f>
        <v>17</v>
      </c>
      <c r="C6" s="16">
        <f>ROUND(AVERAGE([1]Sheet1!C116:C132),0)</f>
        <v>97</v>
      </c>
      <c r="D6" s="16">
        <f>ROUND(AVERAGE([1]Sheet1!D116:D132),0)</f>
        <v>50</v>
      </c>
      <c r="E6" s="17">
        <v>331</v>
      </c>
      <c r="F6" s="16">
        <f t="shared" si="0"/>
        <v>68</v>
      </c>
      <c r="G6">
        <f t="shared" si="1"/>
        <v>10.367486544942411</v>
      </c>
      <c r="H6">
        <f t="shared" si="2"/>
        <v>176.24727126402098</v>
      </c>
    </row>
    <row r="7" spans="1:14" x14ac:dyDescent="0.35">
      <c r="A7" s="10">
        <v>2</v>
      </c>
      <c r="B7" s="10">
        <f>COUNTIF([2]Sheet1!C:C,2)</f>
        <v>10</v>
      </c>
      <c r="C7" s="12">
        <f>ROUND(AVERAGE([1]Sheet1!C133:C142),0)</f>
        <v>29</v>
      </c>
      <c r="D7" s="12">
        <f>ROUND(AVERAGE([1]Sheet1!D133:D142),0)</f>
        <v>14</v>
      </c>
      <c r="E7" s="10">
        <v>90</v>
      </c>
      <c r="F7" s="12">
        <f t="shared" si="0"/>
        <v>20</v>
      </c>
      <c r="G7" s="12">
        <f t="shared" si="1"/>
        <v>27.246919169055886</v>
      </c>
      <c r="H7" s="12">
        <f t="shared" si="2"/>
        <v>272.46919169055889</v>
      </c>
    </row>
    <row r="8" spans="1:14" x14ac:dyDescent="0.35">
      <c r="A8" s="9" t="s">
        <v>22</v>
      </c>
      <c r="B8" s="1">
        <f>SUM(B2:B7)</f>
        <v>141</v>
      </c>
      <c r="F8" s="13">
        <f>SUM(F2:F7)</f>
        <v>1018</v>
      </c>
      <c r="G8" s="13">
        <f t="shared" ref="G8:H8" si="3">SUM(G2:G7)</f>
        <v>70.290025652633162</v>
      </c>
      <c r="H8" s="13">
        <f t="shared" si="3"/>
        <v>990.18439716312048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BCB64-BB2B-4226-A8F4-02B4B58DC5C0}">
  <dimension ref="A1:G5"/>
  <sheetViews>
    <sheetView workbookViewId="0">
      <selection activeCell="H17" sqref="H17"/>
    </sheetView>
  </sheetViews>
  <sheetFormatPr defaultRowHeight="14.5" x14ac:dyDescent="0.35"/>
  <cols>
    <col min="1" max="1" width="16.90625" style="1" customWidth="1"/>
    <col min="2" max="2" width="25.81640625" style="5" customWidth="1"/>
    <col min="3" max="7" width="18.453125" style="1" customWidth="1"/>
  </cols>
  <sheetData>
    <row r="1" spans="1:7" s="4" customFormat="1" ht="46.5" x14ac:dyDescent="0.35">
      <c r="A1" s="7" t="s">
        <v>8</v>
      </c>
      <c r="B1" s="7" t="s">
        <v>7</v>
      </c>
      <c r="C1" s="7" t="s">
        <v>9</v>
      </c>
      <c r="D1" s="7" t="s">
        <v>10</v>
      </c>
      <c r="E1" s="7" t="s">
        <v>11</v>
      </c>
      <c r="F1" s="7" t="s">
        <v>14</v>
      </c>
      <c r="G1" s="7" t="s">
        <v>15</v>
      </c>
    </row>
    <row r="2" spans="1:7" x14ac:dyDescent="0.35">
      <c r="A2" s="8" t="s">
        <v>18</v>
      </c>
      <c r="B2" s="6" t="s">
        <v>12</v>
      </c>
      <c r="C2" s="1">
        <v>1.1008</v>
      </c>
      <c r="D2" s="1">
        <v>0.88900000000000001</v>
      </c>
      <c r="E2" s="1">
        <v>0.93269999999999997</v>
      </c>
      <c r="F2" s="1" t="s">
        <v>20</v>
      </c>
      <c r="G2" s="1" t="s">
        <v>20</v>
      </c>
    </row>
    <row r="3" spans="1:7" x14ac:dyDescent="0.35">
      <c r="A3" s="8"/>
      <c r="B3" s="6" t="s">
        <v>13</v>
      </c>
      <c r="C3" s="1">
        <v>0.9264</v>
      </c>
      <c r="D3" s="1">
        <v>0.61339999999999995</v>
      </c>
      <c r="E3" s="1">
        <v>0.95950000000000002</v>
      </c>
      <c r="F3" s="1" t="s">
        <v>20</v>
      </c>
      <c r="G3" s="1" t="s">
        <v>20</v>
      </c>
    </row>
    <row r="4" spans="1:7" x14ac:dyDescent="0.35">
      <c r="A4" s="8" t="s">
        <v>19</v>
      </c>
      <c r="B4" s="6" t="s">
        <v>16</v>
      </c>
      <c r="C4" s="1" t="s">
        <v>20</v>
      </c>
      <c r="D4" s="1" t="s">
        <v>20</v>
      </c>
      <c r="E4" s="1">
        <v>0.85370000000000001</v>
      </c>
      <c r="F4" s="1">
        <v>0.55169999999999997</v>
      </c>
      <c r="G4" s="1">
        <v>0.51229999999999998</v>
      </c>
    </row>
    <row r="5" spans="1:7" x14ac:dyDescent="0.35">
      <c r="A5" s="8"/>
      <c r="B5" s="6" t="s">
        <v>17</v>
      </c>
      <c r="C5" s="1" t="s">
        <v>20</v>
      </c>
      <c r="D5" s="1" t="s">
        <v>20</v>
      </c>
      <c r="E5" s="1">
        <v>0.62660000000000005</v>
      </c>
      <c r="F5" s="1">
        <v>0.2414</v>
      </c>
      <c r="G5" s="1">
        <v>0.20069999999999999</v>
      </c>
    </row>
  </sheetData>
  <mergeCells count="2">
    <mergeCell ref="A2:A3"/>
    <mergeCell ref="A4:A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Sameek Bhattacharya</dc:creator>
  <cp:lastModifiedBy>Sameek Bhattacharya</cp:lastModifiedBy>
  <dcterms:created xsi:type="dcterms:W3CDTF">2015-06-05T18:17:20Z</dcterms:created>
  <dcterms:modified xsi:type="dcterms:W3CDTF">2025-11-30T00:38:50Z</dcterms:modified>
</cp:coreProperties>
</file>